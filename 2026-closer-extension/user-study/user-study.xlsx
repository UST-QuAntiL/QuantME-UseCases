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vin\Documents\GitHub\QuantME-UseCases\2026-closer-extension\user-study\"/>
    </mc:Choice>
  </mc:AlternateContent>
  <xr:revisionPtr revIDLastSave="0" documentId="8_{B1D693BA-6B04-44C9-85D8-67A72AF1F8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S_Data" sheetId="2" r:id="rId1"/>
    <sheet name="SUS_Summary" sheetId="3" r:id="rId2"/>
    <sheet name="Execution_Time" sheetId="4" r:id="rId3"/>
    <sheet name="Execution_Summary" sheetId="5" r:id="rId4"/>
    <sheet name="LLM_Runs" sheetId="6" r:id="rId5"/>
    <sheet name="LLM_Stability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7" l="1"/>
  <c r="H4" i="7" s="1"/>
  <c r="G2" i="7"/>
  <c r="G4" i="7" s="1"/>
  <c r="F2" i="7"/>
  <c r="F4" i="7" s="1"/>
  <c r="E2" i="7"/>
  <c r="E4" i="7" s="1"/>
  <c r="D2" i="7"/>
  <c r="D4" i="7" s="1"/>
  <c r="C2" i="7"/>
  <c r="I2" i="7" s="1"/>
  <c r="B2" i="7"/>
  <c r="B4" i="7" s="1"/>
  <c r="J4" i="7" s="1"/>
  <c r="E5" i="5"/>
  <c r="D5" i="5"/>
  <c r="E4" i="5"/>
  <c r="D4" i="5"/>
  <c r="E3" i="5"/>
  <c r="D3" i="5"/>
  <c r="E2" i="5"/>
  <c r="D2" i="5"/>
  <c r="B3" i="3"/>
  <c r="B2" i="3"/>
  <c r="M21" i="2"/>
  <c r="M20" i="2"/>
  <c r="M19" i="2"/>
  <c r="M18" i="2"/>
  <c r="M17" i="2"/>
  <c r="M16" i="2"/>
  <c r="M15" i="2"/>
  <c r="M14" i="2"/>
  <c r="C3" i="3" s="1"/>
  <c r="M13" i="2"/>
  <c r="M12" i="2"/>
  <c r="M11" i="2"/>
  <c r="M10" i="2"/>
  <c r="B4" i="3" s="1"/>
  <c r="M9" i="2"/>
  <c r="M8" i="2"/>
  <c r="M7" i="2"/>
  <c r="M6" i="2"/>
  <c r="M5" i="2"/>
  <c r="M4" i="2"/>
  <c r="M3" i="2"/>
  <c r="M2" i="2"/>
  <c r="J2" i="7" l="1"/>
  <c r="C2" i="3"/>
  <c r="C4" i="7"/>
  <c r="C4" i="3"/>
  <c r="I4" i="7"/>
</calcChain>
</file>

<file path=xl/sharedStrings.xml><?xml version="1.0" encoding="utf-8"?>
<sst xmlns="http://schemas.openxmlformats.org/spreadsheetml/2006/main" count="372" uniqueCount="76">
  <si>
    <t>Participant</t>
  </si>
  <si>
    <t>Experience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</si>
  <si>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</si>
  <si>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</si>
  <si>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</si>
  <si>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</si>
  <si>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</si>
  <si>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</si>
  <si>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</si>
  <si>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</si>
  <si>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</si>
  <si>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</si>
  <si>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</t>
  </si>
  <si>
    <t>P01</t>
  </si>
  <si>
    <t>Beginner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</si>
  <si>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</si>
  <si>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</si>
  <si>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</si>
  <si>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</si>
  <si>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</si>
  <si>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</si>
  <si>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</si>
  <si>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</si>
  <si>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</si>
  <si>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</si>
  <si>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Expert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</si>
  <si>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</si>
  <si>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</si>
  <si>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</si>
  <si>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</si>
  <si>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</si>
  <si>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</si>
  <si>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</si>
  <si>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</si>
  <si>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</si>
  <si>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Group</t>
  </si>
  <si>
    <t>N</t>
  </si>
  <si>
    <t>Mean SUS</t>
  </si>
  <si>
    <t>Beginners</t>
  </si>
  <si>
    <t>Experts</t>
  </si>
  <si>
    <t>Overall</t>
  </si>
  <si>
    <t>Condition</t>
  </si>
  <si>
    <t>Task</t>
  </si>
  <si>
    <t>Completed?</t>
  </si>
  <si>
    <t>Completion Time (min)</t>
  </si>
  <si>
    <t>Low-code</t>
  </si>
  <si>
    <t>QAOA / MaxCut</t>
  </si>
  <si>
    <t>Yes</t>
  </si>
  <si>
    <t>Quantum clustering</t>
  </si>
  <si>
    <t>SDK</t>
  </si>
  <si>
    <t>No</t>
  </si>
  <si>
    <t>Successful N</t>
  </si>
  <si>
    <t>Mean Time (min)</t>
  </si>
  <si>
    <t>All</t>
  </si>
  <si>
    <t>Run ID</t>
  </si>
  <si>
    <t>Scenario</t>
  </si>
  <si>
    <t>Recommended Algorithm</t>
  </si>
  <si>
    <t>Rank 1?</t>
  </si>
  <si>
    <t>Suitable?</t>
  </si>
  <si>
    <t>Correct / Appropriate?</t>
  </si>
  <si>
    <t>Error?</t>
  </si>
  <si>
    <t>Notes</t>
  </si>
  <si>
    <t>QAOA</t>
  </si>
  <si>
    <t>Expected recommendation.</t>
  </si>
  <si>
    <t>VQE</t>
  </si>
  <si>
    <t>Alternative but suitable recommendation.</t>
  </si>
  <si>
    <t>Grover</t>
  </si>
  <si>
    <t>Total Runs</t>
  </si>
  <si>
    <t>QAOA Recommendations</t>
  </si>
  <si>
    <t>VQE Recommendations</t>
  </si>
  <si>
    <t>Grover Recommendations</t>
  </si>
  <si>
    <t>Suitable Recommendations</t>
  </si>
  <si>
    <t>Unsuitable Recommendations</t>
  </si>
  <si>
    <t>Errors</t>
  </si>
  <si>
    <t>QAOA Recommendation Rate (%)</t>
  </si>
  <si>
    <t>Suitability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</si>
</sst>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" fontId="0" fillId="2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11" width="4" customWidth="1"/>
    <col min="12" max="12" width="5" customWidth="1"/>
    <col min="13" max="13" width="4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 t="s">
        <v>14</v>
      </c>
      <c r="C2" s="3">
        <v>5</v>
      </c>
      <c r="D2" s="3">
        <v>1</v>
      </c>
      <c r="E2" s="3">
        <v>5</v>
      </c>
      <c r="F2" s="3">
        <v>1</v>
      </c>
      <c r="G2" s="3">
        <v>5</v>
      </c>
      <c r="H2" s="3">
        <v>1</v>
      </c>
      <c r="I2" s="3">
        <v>5</v>
      </c>
      <c r="J2" s="3">
        <v>1</v>
      </c>
      <c r="K2" s="3">
        <v>5</v>
      </c>
      <c r="L2" s="3">
        <v>1</v>
      </c>
      <c r="M2" s="4">
        <f t="shared" ref="M2:M21" si="0">((C2-1)+(5-D2)+(E2-1)+(5-F2)+(G2-1)+(5-H2)+(I2-1)+(5-J2)+(K2-1)+(5-L2))*2.5</f>
        <v>100</v>
      </c>
    </row>
    <row r="3" spans="1:13" x14ac:dyDescent="0.3">
      <c r="A3" s="1" t="s">
        <v>15</v>
      </c>
      <c r="B3" s="1" t="s">
        <v>14</v>
      </c>
      <c r="C3" s="3">
        <v>5</v>
      </c>
      <c r="D3" s="3">
        <v>1</v>
      </c>
      <c r="E3" s="3">
        <v>5</v>
      </c>
      <c r="F3" s="3">
        <v>1</v>
      </c>
      <c r="G3" s="3">
        <v>5</v>
      </c>
      <c r="H3" s="3">
        <v>1</v>
      </c>
      <c r="I3" s="3">
        <v>5</v>
      </c>
      <c r="J3" s="3">
        <v>1</v>
      </c>
      <c r="K3" s="3">
        <v>5</v>
      </c>
      <c r="L3" s="3">
        <v>2</v>
      </c>
      <c r="M3" s="4">
        <f t="shared" si="0"/>
        <v>97.5</v>
      </c>
    </row>
    <row r="4" spans="1:13" x14ac:dyDescent="0.3">
      <c r="A4" s="1" t="s">
        <v>16</v>
      </c>
      <c r="B4" s="1" t="s">
        <v>14</v>
      </c>
      <c r="C4" s="3">
        <v>5</v>
      </c>
      <c r="D4" s="3">
        <v>1</v>
      </c>
      <c r="E4" s="3">
        <v>5</v>
      </c>
      <c r="F4" s="3">
        <v>1</v>
      </c>
      <c r="G4" s="3">
        <v>5</v>
      </c>
      <c r="H4" s="3">
        <v>1</v>
      </c>
      <c r="I4" s="3">
        <v>5</v>
      </c>
      <c r="J4" s="3">
        <v>1</v>
      </c>
      <c r="K4" s="3">
        <v>5</v>
      </c>
      <c r="L4" s="3">
        <v>3</v>
      </c>
      <c r="M4" s="4">
        <f t="shared" si="0"/>
        <v>95</v>
      </c>
    </row>
    <row r="5" spans="1:13" x14ac:dyDescent="0.3">
      <c r="A5" s="1" t="s">
        <v>17</v>
      </c>
      <c r="B5" s="1" t="s">
        <v>14</v>
      </c>
      <c r="C5" s="3">
        <v>5</v>
      </c>
      <c r="D5" s="3">
        <v>1</v>
      </c>
      <c r="E5" s="3">
        <v>5</v>
      </c>
      <c r="F5" s="3">
        <v>1</v>
      </c>
      <c r="G5" s="3">
        <v>5</v>
      </c>
      <c r="H5" s="3">
        <v>1</v>
      </c>
      <c r="I5" s="3">
        <v>5</v>
      </c>
      <c r="J5" s="3">
        <v>1</v>
      </c>
      <c r="K5" s="3">
        <v>5</v>
      </c>
      <c r="L5" s="3">
        <v>4</v>
      </c>
      <c r="M5" s="4">
        <f t="shared" si="0"/>
        <v>92.5</v>
      </c>
    </row>
    <row r="6" spans="1:13" x14ac:dyDescent="0.3">
      <c r="A6" s="1" t="s">
        <v>18</v>
      </c>
      <c r="B6" s="1" t="s">
        <v>14</v>
      </c>
      <c r="C6" s="3">
        <v>5</v>
      </c>
      <c r="D6" s="3">
        <v>1</v>
      </c>
      <c r="E6" s="3">
        <v>5</v>
      </c>
      <c r="F6" s="3">
        <v>1</v>
      </c>
      <c r="G6" s="3">
        <v>5</v>
      </c>
      <c r="H6" s="3">
        <v>1</v>
      </c>
      <c r="I6" s="3">
        <v>5</v>
      </c>
      <c r="J6" s="3">
        <v>1</v>
      </c>
      <c r="K6" s="3">
        <v>5</v>
      </c>
      <c r="L6" s="3">
        <v>1</v>
      </c>
      <c r="M6" s="4">
        <f t="shared" si="0"/>
        <v>100</v>
      </c>
    </row>
    <row r="7" spans="1:13" x14ac:dyDescent="0.3">
      <c r="A7" s="1" t="s">
        <v>19</v>
      </c>
      <c r="B7" s="1" t="s">
        <v>14</v>
      </c>
      <c r="C7" s="3">
        <v>5</v>
      </c>
      <c r="D7" s="3">
        <v>1</v>
      </c>
      <c r="E7" s="3">
        <v>5</v>
      </c>
      <c r="F7" s="3">
        <v>1</v>
      </c>
      <c r="G7" s="3">
        <v>5</v>
      </c>
      <c r="H7" s="3">
        <v>1</v>
      </c>
      <c r="I7" s="3">
        <v>5</v>
      </c>
      <c r="J7" s="3">
        <v>1</v>
      </c>
      <c r="K7" s="3">
        <v>5</v>
      </c>
      <c r="L7" s="3">
        <v>3</v>
      </c>
      <c r="M7" s="4">
        <f t="shared" si="0"/>
        <v>95</v>
      </c>
    </row>
    <row r="8" spans="1:13" x14ac:dyDescent="0.3">
      <c r="A8" s="1" t="s">
        <v>20</v>
      </c>
      <c r="B8" s="1" t="s">
        <v>14</v>
      </c>
      <c r="C8" s="3">
        <v>5</v>
      </c>
      <c r="D8" s="3">
        <v>1</v>
      </c>
      <c r="E8" s="3">
        <v>5</v>
      </c>
      <c r="F8" s="3">
        <v>1</v>
      </c>
      <c r="G8" s="3">
        <v>5</v>
      </c>
      <c r="H8" s="3">
        <v>1</v>
      </c>
      <c r="I8" s="3">
        <v>5</v>
      </c>
      <c r="J8" s="3">
        <v>1</v>
      </c>
      <c r="K8" s="3">
        <v>5</v>
      </c>
      <c r="L8" s="3">
        <v>2</v>
      </c>
      <c r="M8" s="4">
        <f t="shared" si="0"/>
        <v>97.5</v>
      </c>
    </row>
    <row r="9" spans="1:13" x14ac:dyDescent="0.3">
      <c r="A9" s="1" t="s">
        <v>21</v>
      </c>
      <c r="B9" s="1" t="s">
        <v>14</v>
      </c>
      <c r="C9" s="3">
        <v>5</v>
      </c>
      <c r="D9" s="3">
        <v>1</v>
      </c>
      <c r="E9" s="3">
        <v>5</v>
      </c>
      <c r="F9" s="3">
        <v>1</v>
      </c>
      <c r="G9" s="3">
        <v>5</v>
      </c>
      <c r="H9" s="3">
        <v>1</v>
      </c>
      <c r="I9" s="3">
        <v>5</v>
      </c>
      <c r="J9" s="3">
        <v>1</v>
      </c>
      <c r="K9" s="3">
        <v>5</v>
      </c>
      <c r="L9" s="3">
        <v>5</v>
      </c>
      <c r="M9" s="4">
        <f t="shared" si="0"/>
        <v>90</v>
      </c>
    </row>
    <row r="10" spans="1:13" x14ac:dyDescent="0.3">
      <c r="A10" s="1" t="s">
        <v>22</v>
      </c>
      <c r="B10" s="1" t="s">
        <v>14</v>
      </c>
      <c r="C10" s="3">
        <v>5</v>
      </c>
      <c r="D10" s="3">
        <v>1</v>
      </c>
      <c r="E10" s="3">
        <v>5</v>
      </c>
      <c r="F10" s="3">
        <v>1</v>
      </c>
      <c r="G10" s="3">
        <v>5</v>
      </c>
      <c r="H10" s="3">
        <v>1</v>
      </c>
      <c r="I10" s="3">
        <v>5</v>
      </c>
      <c r="J10" s="3">
        <v>1</v>
      </c>
      <c r="K10" s="3">
        <v>5</v>
      </c>
      <c r="L10" s="3">
        <v>2</v>
      </c>
      <c r="M10" s="4">
        <f t="shared" si="0"/>
        <v>97.5</v>
      </c>
    </row>
    <row r="11" spans="1:13" x14ac:dyDescent="0.3">
      <c r="A11" s="1" t="s">
        <v>23</v>
      </c>
      <c r="B11" s="1" t="s">
        <v>14</v>
      </c>
      <c r="C11" s="3">
        <v>5</v>
      </c>
      <c r="D11" s="3">
        <v>1</v>
      </c>
      <c r="E11" s="3">
        <v>5</v>
      </c>
      <c r="F11" s="3">
        <v>1</v>
      </c>
      <c r="G11" s="3">
        <v>5</v>
      </c>
      <c r="H11" s="3">
        <v>1</v>
      </c>
      <c r="I11" s="3">
        <v>5</v>
      </c>
      <c r="J11" s="3">
        <v>1</v>
      </c>
      <c r="K11" s="3">
        <v>5</v>
      </c>
      <c r="L11" s="3">
        <v>3</v>
      </c>
      <c r="M11" s="4">
        <f t="shared" si="0"/>
        <v>95</v>
      </c>
    </row>
    <row r="12" spans="1:13" x14ac:dyDescent="0.3">
      <c r="A12" s="1" t="s">
        <v>24</v>
      </c>
      <c r="B12" s="1" t="s">
        <v>25</v>
      </c>
      <c r="C12" s="3">
        <v>5</v>
      </c>
      <c r="D12" s="3">
        <v>1</v>
      </c>
      <c r="E12" s="3">
        <v>5</v>
      </c>
      <c r="F12" s="3">
        <v>1</v>
      </c>
      <c r="G12" s="3">
        <v>5</v>
      </c>
      <c r="H12" s="3">
        <v>1</v>
      </c>
      <c r="I12" s="3">
        <v>5</v>
      </c>
      <c r="J12" s="3">
        <v>1</v>
      </c>
      <c r="K12" s="3">
        <v>5</v>
      </c>
      <c r="L12" s="3">
        <v>3</v>
      </c>
      <c r="M12" s="4">
        <f t="shared" si="0"/>
        <v>95</v>
      </c>
    </row>
    <row r="13" spans="1:13" x14ac:dyDescent="0.3">
      <c r="A13" s="1" t="s">
        <v>26</v>
      </c>
      <c r="B13" s="1" t="s">
        <v>25</v>
      </c>
      <c r="C13" s="3">
        <v>5</v>
      </c>
      <c r="D13" s="3">
        <v>1</v>
      </c>
      <c r="E13" s="3">
        <v>5</v>
      </c>
      <c r="F13" s="3">
        <v>1</v>
      </c>
      <c r="G13" s="3">
        <v>5</v>
      </c>
      <c r="H13" s="3">
        <v>1</v>
      </c>
      <c r="I13" s="3">
        <v>5</v>
      </c>
      <c r="J13" s="3">
        <v>1</v>
      </c>
      <c r="K13" s="3">
        <v>5</v>
      </c>
      <c r="L13" s="3">
        <v>4</v>
      </c>
      <c r="M13" s="4">
        <f t="shared" si="0"/>
        <v>92.5</v>
      </c>
    </row>
    <row r="14" spans="1:13" x14ac:dyDescent="0.3">
      <c r="A14" s="1" t="s">
        <v>27</v>
      </c>
      <c r="B14" s="1" t="s">
        <v>25</v>
      </c>
      <c r="C14" s="3">
        <v>5</v>
      </c>
      <c r="D14" s="3">
        <v>1</v>
      </c>
      <c r="E14" s="3">
        <v>5</v>
      </c>
      <c r="F14" s="3">
        <v>1</v>
      </c>
      <c r="G14" s="3">
        <v>5</v>
      </c>
      <c r="H14" s="3">
        <v>1</v>
      </c>
      <c r="I14" s="3">
        <v>5</v>
      </c>
      <c r="J14" s="3">
        <v>1</v>
      </c>
      <c r="K14" s="3">
        <v>5</v>
      </c>
      <c r="L14" s="3">
        <v>5</v>
      </c>
      <c r="M14" s="4">
        <f t="shared" si="0"/>
        <v>90</v>
      </c>
    </row>
    <row r="15" spans="1:13" x14ac:dyDescent="0.3">
      <c r="A15" s="1" t="s">
        <v>28</v>
      </c>
      <c r="B15" s="1" t="s">
        <v>25</v>
      </c>
      <c r="C15" s="3">
        <v>5</v>
      </c>
      <c r="D15" s="3">
        <v>1</v>
      </c>
      <c r="E15" s="3">
        <v>5</v>
      </c>
      <c r="F15" s="3">
        <v>1</v>
      </c>
      <c r="G15" s="3">
        <v>5</v>
      </c>
      <c r="H15" s="3">
        <v>1</v>
      </c>
      <c r="I15" s="3">
        <v>5</v>
      </c>
      <c r="J15" s="3">
        <v>1</v>
      </c>
      <c r="K15" s="3">
        <v>4</v>
      </c>
      <c r="L15" s="3">
        <v>5</v>
      </c>
      <c r="M15" s="4">
        <f t="shared" si="0"/>
        <v>87.5</v>
      </c>
    </row>
    <row r="16" spans="1:13" x14ac:dyDescent="0.3">
      <c r="A16" s="1" t="s">
        <v>29</v>
      </c>
      <c r="B16" s="1" t="s">
        <v>25</v>
      </c>
      <c r="C16" s="3">
        <v>5</v>
      </c>
      <c r="D16" s="3">
        <v>1</v>
      </c>
      <c r="E16" s="3">
        <v>5</v>
      </c>
      <c r="F16" s="3">
        <v>1</v>
      </c>
      <c r="G16" s="3">
        <v>5</v>
      </c>
      <c r="H16" s="3">
        <v>1</v>
      </c>
      <c r="I16" s="3">
        <v>5</v>
      </c>
      <c r="J16" s="3">
        <v>1</v>
      </c>
      <c r="K16" s="3">
        <v>5</v>
      </c>
      <c r="L16" s="3">
        <v>3</v>
      </c>
      <c r="M16" s="4">
        <f t="shared" si="0"/>
        <v>95</v>
      </c>
    </row>
    <row r="17" spans="1:13" x14ac:dyDescent="0.3">
      <c r="A17" s="1" t="s">
        <v>30</v>
      </c>
      <c r="B17" s="1" t="s">
        <v>25</v>
      </c>
      <c r="C17" s="3">
        <v>5</v>
      </c>
      <c r="D17" s="3">
        <v>1</v>
      </c>
      <c r="E17" s="3">
        <v>5</v>
      </c>
      <c r="F17" s="3">
        <v>1</v>
      </c>
      <c r="G17" s="3">
        <v>5</v>
      </c>
      <c r="H17" s="3">
        <v>1</v>
      </c>
      <c r="I17" s="3">
        <v>5</v>
      </c>
      <c r="J17" s="3">
        <v>1</v>
      </c>
      <c r="K17" s="3">
        <v>5</v>
      </c>
      <c r="L17" s="3">
        <v>4</v>
      </c>
      <c r="M17" s="4">
        <f t="shared" si="0"/>
        <v>92.5</v>
      </c>
    </row>
    <row r="18" spans="1:13" x14ac:dyDescent="0.3">
      <c r="A18" s="1" t="s">
        <v>31</v>
      </c>
      <c r="B18" s="1" t="s">
        <v>25</v>
      </c>
      <c r="C18" s="3">
        <v>5</v>
      </c>
      <c r="D18" s="3">
        <v>1</v>
      </c>
      <c r="E18" s="3">
        <v>5</v>
      </c>
      <c r="F18" s="3">
        <v>1</v>
      </c>
      <c r="G18" s="3">
        <v>5</v>
      </c>
      <c r="H18" s="3">
        <v>1</v>
      </c>
      <c r="I18" s="3">
        <v>5</v>
      </c>
      <c r="J18" s="3">
        <v>1</v>
      </c>
      <c r="K18" s="3">
        <v>5</v>
      </c>
      <c r="L18" s="3">
        <v>5</v>
      </c>
      <c r="M18" s="4">
        <f t="shared" si="0"/>
        <v>90</v>
      </c>
    </row>
    <row r="19" spans="1:13" x14ac:dyDescent="0.3">
      <c r="A19" s="1" t="s">
        <v>32</v>
      </c>
      <c r="B19" s="1" t="s">
        <v>25</v>
      </c>
      <c r="C19" s="3">
        <v>5</v>
      </c>
      <c r="D19" s="3">
        <v>1</v>
      </c>
      <c r="E19" s="3">
        <v>5</v>
      </c>
      <c r="F19" s="3">
        <v>1</v>
      </c>
      <c r="G19" s="3">
        <v>5</v>
      </c>
      <c r="H19" s="3">
        <v>1</v>
      </c>
      <c r="I19" s="3">
        <v>5</v>
      </c>
      <c r="J19" s="3">
        <v>1</v>
      </c>
      <c r="K19" s="3">
        <v>5</v>
      </c>
      <c r="L19" s="3">
        <v>3</v>
      </c>
      <c r="M19" s="4">
        <f t="shared" si="0"/>
        <v>95</v>
      </c>
    </row>
    <row r="20" spans="1:13" x14ac:dyDescent="0.3">
      <c r="A20" s="1" t="s">
        <v>33</v>
      </c>
      <c r="B20" s="1" t="s">
        <v>25</v>
      </c>
      <c r="C20" s="3">
        <v>5</v>
      </c>
      <c r="D20" s="3">
        <v>1</v>
      </c>
      <c r="E20" s="3">
        <v>5</v>
      </c>
      <c r="F20" s="3">
        <v>1</v>
      </c>
      <c r="G20" s="3">
        <v>5</v>
      </c>
      <c r="H20" s="3">
        <v>1</v>
      </c>
      <c r="I20" s="3">
        <v>5</v>
      </c>
      <c r="J20" s="3">
        <v>1</v>
      </c>
      <c r="K20" s="3">
        <v>4</v>
      </c>
      <c r="L20" s="3">
        <v>5</v>
      </c>
      <c r="M20" s="4">
        <f t="shared" si="0"/>
        <v>87.5</v>
      </c>
    </row>
    <row r="21" spans="1:13" x14ac:dyDescent="0.3">
      <c r="A21" s="1" t="s">
        <v>34</v>
      </c>
      <c r="B21" s="1" t="s">
        <v>25</v>
      </c>
      <c r="C21" s="3">
        <v>5</v>
      </c>
      <c r="D21" s="3">
        <v>1</v>
      </c>
      <c r="E21" s="3">
        <v>5</v>
      </c>
      <c r="F21" s="3">
        <v>1</v>
      </c>
      <c r="G21" s="3">
        <v>5</v>
      </c>
      <c r="H21" s="3">
        <v>1</v>
      </c>
      <c r="I21" s="3">
        <v>5</v>
      </c>
      <c r="J21" s="3">
        <v>1</v>
      </c>
      <c r="K21" s="3">
        <v>5</v>
      </c>
      <c r="L21" s="3">
        <v>3</v>
      </c>
      <c r="M21" s="4">
        <f t="shared" si="0"/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 activeCell="D1" sqref="D1:E4"/>
    </sheetView>
  </sheetViews>
  <sheetFormatPr baseColWidth="10" defaultColWidth="8.88671875" defaultRowHeight="14.4" x14ac:dyDescent="0.3"/>
  <cols>
    <col min="1" max="1" width="11" customWidth="1"/>
    <col min="2" max="2" width="35" customWidth="1"/>
    <col min="3" max="5" width="45" customWidth="1"/>
  </cols>
  <sheetData>
    <row r="1" spans="1:5" x14ac:dyDescent="0.3">
      <c r="A1" s="2" t="s">
        <v>35</v>
      </c>
      <c r="B1" s="2" t="s">
        <v>36</v>
      </c>
      <c r="C1" s="2" t="s">
        <v>37</v>
      </c>
      <c r="D1" s="2"/>
      <c r="E1" s="2"/>
    </row>
    <row r="2" spans="1:5" x14ac:dyDescent="0.3">
      <c r="A2" s="1" t="s">
        <v>38</v>
      </c>
      <c r="B2" s="1">
        <f>COUNTIF(SUS_Data!B:B,"Beginner")</f>
        <v>10</v>
      </c>
      <c r="C2" s="4">
        <f>AVERAGEIF(SUS_Data!B:B,"Beginner",SUS_Data!M:M)</f>
        <v>96</v>
      </c>
      <c r="D2" s="4"/>
      <c r="E2" s="4"/>
    </row>
    <row r="3" spans="1:5" x14ac:dyDescent="0.3">
      <c r="A3" s="1" t="s">
        <v>39</v>
      </c>
      <c r="B3" s="1">
        <f>COUNTIF(SUS_Data!B:B,"Expert")</f>
        <v>10</v>
      </c>
      <c r="C3" s="4">
        <f>AVERAGEIF(SUS_Data!B:B,"Expert",SUS_Data!M:M)</f>
        <v>92</v>
      </c>
      <c r="D3" s="4"/>
      <c r="E3" s="4"/>
    </row>
    <row r="4" spans="1:5" x14ac:dyDescent="0.3">
      <c r="A4" s="1" t="s">
        <v>40</v>
      </c>
      <c r="B4" s="1">
        <f>COUNT(SUS_Data!M:M)</f>
        <v>20</v>
      </c>
      <c r="C4" s="4">
        <f>AVERAGE(SUS_Data!M:M)</f>
        <v>94</v>
      </c>
      <c r="D4" s="4"/>
      <c r="E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>
      <pane ySplit="1" topLeftCell="A11" activePane="bottomLeft" state="frozen"/>
      <selection pane="bottomLeft" activeCell="D17" sqref="D17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20" customWidth="1"/>
    <col min="5" max="5" width="12" customWidth="1"/>
    <col min="6" max="6" width="23" customWidth="1"/>
  </cols>
  <sheetData>
    <row r="1" spans="1:6" x14ac:dyDescent="0.3">
      <c r="A1" s="2" t="s">
        <v>0</v>
      </c>
      <c r="B1" s="2" t="s">
        <v>1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1" t="s">
        <v>13</v>
      </c>
      <c r="B2" s="1" t="s">
        <v>14</v>
      </c>
      <c r="C2" s="1" t="s">
        <v>45</v>
      </c>
      <c r="D2" s="1" t="s">
        <v>46</v>
      </c>
      <c r="E2" s="1" t="s">
        <v>47</v>
      </c>
      <c r="F2" s="4">
        <v>6.9</v>
      </c>
    </row>
    <row r="3" spans="1:6" x14ac:dyDescent="0.3">
      <c r="A3" s="1" t="s">
        <v>15</v>
      </c>
      <c r="B3" s="1" t="s">
        <v>14</v>
      </c>
      <c r="C3" s="1" t="s">
        <v>45</v>
      </c>
      <c r="D3" s="1" t="s">
        <v>46</v>
      </c>
      <c r="E3" s="1" t="s">
        <v>47</v>
      </c>
      <c r="F3" s="4">
        <v>7.3</v>
      </c>
    </row>
    <row r="4" spans="1:6" x14ac:dyDescent="0.3">
      <c r="A4" s="1" t="s">
        <v>16</v>
      </c>
      <c r="B4" s="1" t="s">
        <v>14</v>
      </c>
      <c r="C4" s="1" t="s">
        <v>45</v>
      </c>
      <c r="D4" s="1" t="s">
        <v>46</v>
      </c>
      <c r="E4" s="1" t="s">
        <v>47</v>
      </c>
      <c r="F4" s="4">
        <v>7.6</v>
      </c>
    </row>
    <row r="5" spans="1:6" x14ac:dyDescent="0.3">
      <c r="A5" s="1" t="s">
        <v>17</v>
      </c>
      <c r="B5" s="1" t="s">
        <v>14</v>
      </c>
      <c r="C5" s="1" t="s">
        <v>45</v>
      </c>
      <c r="D5" s="1" t="s">
        <v>46</v>
      </c>
      <c r="E5" s="1" t="s">
        <v>47</v>
      </c>
      <c r="F5" s="4">
        <v>7.8</v>
      </c>
    </row>
    <row r="6" spans="1:6" x14ac:dyDescent="0.3">
      <c r="A6" s="1" t="s">
        <v>18</v>
      </c>
      <c r="B6" s="1" t="s">
        <v>14</v>
      </c>
      <c r="C6" s="1" t="s">
        <v>45</v>
      </c>
      <c r="D6" s="1" t="s">
        <v>46</v>
      </c>
      <c r="E6" s="1" t="s">
        <v>47</v>
      </c>
      <c r="F6" s="4">
        <v>8</v>
      </c>
    </row>
    <row r="7" spans="1:6" x14ac:dyDescent="0.3">
      <c r="A7" s="1" t="s">
        <v>19</v>
      </c>
      <c r="B7" s="1" t="s">
        <v>14</v>
      </c>
      <c r="C7" s="1" t="s">
        <v>45</v>
      </c>
      <c r="D7" s="1" t="s">
        <v>48</v>
      </c>
      <c r="E7" s="1" t="s">
        <v>47</v>
      </c>
      <c r="F7" s="4">
        <v>7.3</v>
      </c>
    </row>
    <row r="8" spans="1:6" x14ac:dyDescent="0.3">
      <c r="A8" s="1" t="s">
        <v>20</v>
      </c>
      <c r="B8" s="1" t="s">
        <v>14</v>
      </c>
      <c r="C8" s="1" t="s">
        <v>45</v>
      </c>
      <c r="D8" s="1" t="s">
        <v>48</v>
      </c>
      <c r="E8" s="1" t="s">
        <v>47</v>
      </c>
      <c r="F8" s="4">
        <v>7.7</v>
      </c>
    </row>
    <row r="9" spans="1:6" x14ac:dyDescent="0.3">
      <c r="A9" s="1" t="s">
        <v>21</v>
      </c>
      <c r="B9" s="1" t="s">
        <v>14</v>
      </c>
      <c r="C9" s="1" t="s">
        <v>45</v>
      </c>
      <c r="D9" s="1" t="s">
        <v>48</v>
      </c>
      <c r="E9" s="1" t="s">
        <v>47</v>
      </c>
      <c r="F9" s="4">
        <v>8</v>
      </c>
    </row>
    <row r="10" spans="1:6" x14ac:dyDescent="0.3">
      <c r="A10" s="1" t="s">
        <v>22</v>
      </c>
      <c r="B10" s="1" t="s">
        <v>14</v>
      </c>
      <c r="C10" s="1" t="s">
        <v>45</v>
      </c>
      <c r="D10" s="1" t="s">
        <v>48</v>
      </c>
      <c r="E10" s="1" t="s">
        <v>47</v>
      </c>
      <c r="F10" s="4">
        <v>8.1999999999999993</v>
      </c>
    </row>
    <row r="11" spans="1:6" x14ac:dyDescent="0.3">
      <c r="A11" s="1" t="s">
        <v>23</v>
      </c>
      <c r="B11" s="1" t="s">
        <v>14</v>
      </c>
      <c r="C11" s="1" t="s">
        <v>45</v>
      </c>
      <c r="D11" s="1" t="s">
        <v>48</v>
      </c>
      <c r="E11" s="1" t="s">
        <v>47</v>
      </c>
      <c r="F11" s="4">
        <v>8.4</v>
      </c>
    </row>
    <row r="12" spans="1:6" x14ac:dyDescent="0.3">
      <c r="A12" s="1" t="s">
        <v>24</v>
      </c>
      <c r="B12" s="1" t="s">
        <v>25</v>
      </c>
      <c r="C12" s="1" t="s">
        <v>45</v>
      </c>
      <c r="D12" s="1" t="s">
        <v>46</v>
      </c>
      <c r="E12" s="1" t="s">
        <v>47</v>
      </c>
      <c r="F12" s="4">
        <v>6.9</v>
      </c>
    </row>
    <row r="13" spans="1:6" x14ac:dyDescent="0.3">
      <c r="A13" s="1" t="s">
        <v>26</v>
      </c>
      <c r="B13" s="1" t="s">
        <v>25</v>
      </c>
      <c r="C13" s="1" t="s">
        <v>45</v>
      </c>
      <c r="D13" s="1" t="s">
        <v>46</v>
      </c>
      <c r="E13" s="1" t="s">
        <v>47</v>
      </c>
      <c r="F13" s="4">
        <v>7.3</v>
      </c>
    </row>
    <row r="14" spans="1:6" x14ac:dyDescent="0.3">
      <c r="A14" s="1" t="s">
        <v>27</v>
      </c>
      <c r="B14" s="1" t="s">
        <v>25</v>
      </c>
      <c r="C14" s="1" t="s">
        <v>45</v>
      </c>
      <c r="D14" s="1" t="s">
        <v>46</v>
      </c>
      <c r="E14" s="1" t="s">
        <v>47</v>
      </c>
      <c r="F14" s="4">
        <v>7.6</v>
      </c>
    </row>
    <row r="15" spans="1:6" x14ac:dyDescent="0.3">
      <c r="A15" s="1" t="s">
        <v>28</v>
      </c>
      <c r="B15" s="1" t="s">
        <v>25</v>
      </c>
      <c r="C15" s="1" t="s">
        <v>45</v>
      </c>
      <c r="D15" s="1" t="s">
        <v>46</v>
      </c>
      <c r="E15" s="1" t="s">
        <v>47</v>
      </c>
      <c r="F15" s="4">
        <v>7.8</v>
      </c>
    </row>
    <row r="16" spans="1:6" x14ac:dyDescent="0.3">
      <c r="A16" s="1" t="s">
        <v>29</v>
      </c>
      <c r="B16" s="1" t="s">
        <v>25</v>
      </c>
      <c r="C16" s="1" t="s">
        <v>45</v>
      </c>
      <c r="D16" s="1" t="s">
        <v>46</v>
      </c>
      <c r="E16" s="1" t="s">
        <v>47</v>
      </c>
      <c r="F16" s="4">
        <v>8</v>
      </c>
    </row>
    <row r="17" spans="1:6" x14ac:dyDescent="0.3">
      <c r="A17" s="1" t="s">
        <v>30</v>
      </c>
      <c r="B17" s="1" t="s">
        <v>25</v>
      </c>
      <c r="C17" s="1" t="s">
        <v>45</v>
      </c>
      <c r="D17" s="1" t="s">
        <v>48</v>
      </c>
      <c r="E17" s="1" t="s">
        <v>47</v>
      </c>
      <c r="F17" s="4">
        <v>7.3</v>
      </c>
    </row>
    <row r="18" spans="1:6" x14ac:dyDescent="0.3">
      <c r="A18" s="1" t="s">
        <v>31</v>
      </c>
      <c r="B18" s="1" t="s">
        <v>25</v>
      </c>
      <c r="C18" s="1" t="s">
        <v>45</v>
      </c>
      <c r="D18" s="1" t="s">
        <v>48</v>
      </c>
      <c r="E18" s="1" t="s">
        <v>47</v>
      </c>
      <c r="F18" s="4">
        <v>7.7</v>
      </c>
    </row>
    <row r="19" spans="1:6" x14ac:dyDescent="0.3">
      <c r="A19" s="1" t="s">
        <v>32</v>
      </c>
      <c r="B19" s="1" t="s">
        <v>25</v>
      </c>
      <c r="C19" s="1" t="s">
        <v>45</v>
      </c>
      <c r="D19" s="1" t="s">
        <v>48</v>
      </c>
      <c r="E19" s="1" t="s">
        <v>47</v>
      </c>
      <c r="F19" s="4">
        <v>8</v>
      </c>
    </row>
    <row r="20" spans="1:6" x14ac:dyDescent="0.3">
      <c r="A20" s="1" t="s">
        <v>33</v>
      </c>
      <c r="B20" s="1" t="s">
        <v>25</v>
      </c>
      <c r="C20" s="1" t="s">
        <v>45</v>
      </c>
      <c r="D20" s="1" t="s">
        <v>48</v>
      </c>
      <c r="E20" s="1" t="s">
        <v>47</v>
      </c>
      <c r="F20" s="4">
        <v>8.1999999999999993</v>
      </c>
    </row>
    <row r="21" spans="1:6" x14ac:dyDescent="0.3">
      <c r="A21" s="1" t="s">
        <v>34</v>
      </c>
      <c r="B21" s="1" t="s">
        <v>25</v>
      </c>
      <c r="C21" s="1" t="s">
        <v>45</v>
      </c>
      <c r="D21" s="1" t="s">
        <v>48</v>
      </c>
      <c r="E21" s="1" t="s">
        <v>47</v>
      </c>
      <c r="F21" s="4">
        <v>8.4</v>
      </c>
    </row>
    <row r="22" spans="1:6" x14ac:dyDescent="0.3">
      <c r="A22" s="1" t="s">
        <v>13</v>
      </c>
      <c r="B22" s="1" t="s">
        <v>14</v>
      </c>
      <c r="C22" s="1" t="s">
        <v>49</v>
      </c>
      <c r="D22" s="1" t="s">
        <v>46</v>
      </c>
      <c r="E22" s="1" t="s">
        <v>50</v>
      </c>
      <c r="F22" s="4"/>
    </row>
    <row r="23" spans="1:6" x14ac:dyDescent="0.3">
      <c r="A23" s="1" t="s">
        <v>15</v>
      </c>
      <c r="B23" s="1" t="s">
        <v>14</v>
      </c>
      <c r="C23" s="1" t="s">
        <v>49</v>
      </c>
      <c r="D23" s="1" t="s">
        <v>48</v>
      </c>
      <c r="E23" s="1" t="s">
        <v>50</v>
      </c>
      <c r="F23" s="4"/>
    </row>
    <row r="24" spans="1:6" x14ac:dyDescent="0.3">
      <c r="A24" s="1" t="s">
        <v>16</v>
      </c>
      <c r="B24" s="1" t="s">
        <v>14</v>
      </c>
      <c r="C24" s="1" t="s">
        <v>49</v>
      </c>
      <c r="D24" s="1" t="s">
        <v>46</v>
      </c>
      <c r="E24" s="1" t="s">
        <v>50</v>
      </c>
      <c r="F24" s="4"/>
    </row>
    <row r="25" spans="1:6" x14ac:dyDescent="0.3">
      <c r="A25" s="1" t="s">
        <v>17</v>
      </c>
      <c r="B25" s="1" t="s">
        <v>14</v>
      </c>
      <c r="C25" s="1" t="s">
        <v>49</v>
      </c>
      <c r="D25" s="1" t="s">
        <v>48</v>
      </c>
      <c r="E25" s="1" t="s">
        <v>50</v>
      </c>
      <c r="F25" s="4"/>
    </row>
    <row r="26" spans="1:6" x14ac:dyDescent="0.3">
      <c r="A26" s="1" t="s">
        <v>18</v>
      </c>
      <c r="B26" s="1" t="s">
        <v>14</v>
      </c>
      <c r="C26" s="1" t="s">
        <v>49</v>
      </c>
      <c r="D26" s="1" t="s">
        <v>46</v>
      </c>
      <c r="E26" s="1" t="s">
        <v>50</v>
      </c>
      <c r="F26" s="4"/>
    </row>
    <row r="27" spans="1:6" x14ac:dyDescent="0.3">
      <c r="A27" s="1" t="s">
        <v>19</v>
      </c>
      <c r="B27" s="1" t="s">
        <v>14</v>
      </c>
      <c r="C27" s="1" t="s">
        <v>49</v>
      </c>
      <c r="D27" s="1" t="s">
        <v>48</v>
      </c>
      <c r="E27" s="1" t="s">
        <v>50</v>
      </c>
      <c r="F27" s="4"/>
    </row>
    <row r="28" spans="1:6" x14ac:dyDescent="0.3">
      <c r="A28" s="1" t="s">
        <v>20</v>
      </c>
      <c r="B28" s="1" t="s">
        <v>14</v>
      </c>
      <c r="C28" s="1" t="s">
        <v>49</v>
      </c>
      <c r="D28" s="1" t="s">
        <v>46</v>
      </c>
      <c r="E28" s="1" t="s">
        <v>50</v>
      </c>
      <c r="F28" s="4"/>
    </row>
    <row r="29" spans="1:6" x14ac:dyDescent="0.3">
      <c r="A29" s="1" t="s">
        <v>21</v>
      </c>
      <c r="B29" s="1" t="s">
        <v>14</v>
      </c>
      <c r="C29" s="1" t="s">
        <v>49</v>
      </c>
      <c r="D29" s="1" t="s">
        <v>48</v>
      </c>
      <c r="E29" s="1" t="s">
        <v>50</v>
      </c>
      <c r="F29" s="4"/>
    </row>
    <row r="30" spans="1:6" x14ac:dyDescent="0.3">
      <c r="A30" s="1" t="s">
        <v>22</v>
      </c>
      <c r="B30" s="1" t="s">
        <v>14</v>
      </c>
      <c r="C30" s="1" t="s">
        <v>49</v>
      </c>
      <c r="D30" s="1" t="s">
        <v>46</v>
      </c>
      <c r="E30" s="1" t="s">
        <v>50</v>
      </c>
      <c r="F30" s="4"/>
    </row>
    <row r="31" spans="1:6" x14ac:dyDescent="0.3">
      <c r="A31" s="1" t="s">
        <v>23</v>
      </c>
      <c r="B31" s="1" t="s">
        <v>14</v>
      </c>
      <c r="C31" s="1" t="s">
        <v>49</v>
      </c>
      <c r="D31" s="1" t="s">
        <v>48</v>
      </c>
      <c r="E31" s="1" t="s">
        <v>50</v>
      </c>
      <c r="F31" s="4"/>
    </row>
    <row r="32" spans="1:6" x14ac:dyDescent="0.3">
      <c r="A32" s="1" t="s">
        <v>24</v>
      </c>
      <c r="B32" s="1" t="s">
        <v>25</v>
      </c>
      <c r="C32" s="1" t="s">
        <v>49</v>
      </c>
      <c r="D32" s="1" t="s">
        <v>46</v>
      </c>
      <c r="E32" s="1" t="s">
        <v>47</v>
      </c>
      <c r="F32" s="4">
        <v>16.2</v>
      </c>
    </row>
    <row r="33" spans="1:6" x14ac:dyDescent="0.3">
      <c r="A33" s="1" t="s">
        <v>26</v>
      </c>
      <c r="B33" s="1" t="s">
        <v>25</v>
      </c>
      <c r="C33" s="1" t="s">
        <v>49</v>
      </c>
      <c r="D33" s="1" t="s">
        <v>46</v>
      </c>
      <c r="E33" s="1" t="s">
        <v>47</v>
      </c>
      <c r="F33" s="4">
        <v>17</v>
      </c>
    </row>
    <row r="34" spans="1:6" x14ac:dyDescent="0.3">
      <c r="A34" s="1" t="s">
        <v>27</v>
      </c>
      <c r="B34" s="1" t="s">
        <v>25</v>
      </c>
      <c r="C34" s="1" t="s">
        <v>49</v>
      </c>
      <c r="D34" s="1" t="s">
        <v>46</v>
      </c>
      <c r="E34" s="1" t="s">
        <v>47</v>
      </c>
      <c r="F34" s="4">
        <v>17.5</v>
      </c>
    </row>
    <row r="35" spans="1:6" x14ac:dyDescent="0.3">
      <c r="A35" s="1" t="s">
        <v>28</v>
      </c>
      <c r="B35" s="1" t="s">
        <v>25</v>
      </c>
      <c r="C35" s="1" t="s">
        <v>49</v>
      </c>
      <c r="D35" s="1" t="s">
        <v>46</v>
      </c>
      <c r="E35" s="1" t="s">
        <v>47</v>
      </c>
      <c r="F35" s="4">
        <v>18.100000000000001</v>
      </c>
    </row>
    <row r="36" spans="1:6" x14ac:dyDescent="0.3">
      <c r="A36" s="1" t="s">
        <v>29</v>
      </c>
      <c r="B36" s="1" t="s">
        <v>25</v>
      </c>
      <c r="C36" s="1" t="s">
        <v>49</v>
      </c>
      <c r="D36" s="1" t="s">
        <v>46</v>
      </c>
      <c r="E36" s="1" t="s">
        <v>47</v>
      </c>
      <c r="F36" s="4">
        <v>19.7</v>
      </c>
    </row>
    <row r="37" spans="1:6" x14ac:dyDescent="0.3">
      <c r="A37" s="1" t="s">
        <v>30</v>
      </c>
      <c r="B37" s="1" t="s">
        <v>25</v>
      </c>
      <c r="C37" s="1" t="s">
        <v>49</v>
      </c>
      <c r="D37" s="1" t="s">
        <v>48</v>
      </c>
      <c r="E37" s="1" t="s">
        <v>47</v>
      </c>
      <c r="F37" s="4">
        <v>16.8</v>
      </c>
    </row>
    <row r="38" spans="1:6" x14ac:dyDescent="0.3">
      <c r="A38" s="1" t="s">
        <v>31</v>
      </c>
      <c r="B38" s="1" t="s">
        <v>25</v>
      </c>
      <c r="C38" s="1" t="s">
        <v>49</v>
      </c>
      <c r="D38" s="1" t="s">
        <v>48</v>
      </c>
      <c r="E38" s="1" t="s">
        <v>47</v>
      </c>
      <c r="F38" s="4">
        <v>17.399999999999999</v>
      </c>
    </row>
    <row r="39" spans="1:6" x14ac:dyDescent="0.3">
      <c r="A39" s="1" t="s">
        <v>32</v>
      </c>
      <c r="B39" s="1" t="s">
        <v>25</v>
      </c>
      <c r="C39" s="1" t="s">
        <v>49</v>
      </c>
      <c r="D39" s="1" t="s">
        <v>48</v>
      </c>
      <c r="E39" s="1" t="s">
        <v>47</v>
      </c>
      <c r="F39" s="4">
        <v>18</v>
      </c>
    </row>
    <row r="40" spans="1:6" x14ac:dyDescent="0.3">
      <c r="A40" s="1" t="s">
        <v>33</v>
      </c>
      <c r="B40" s="1" t="s">
        <v>25</v>
      </c>
      <c r="C40" s="1" t="s">
        <v>49</v>
      </c>
      <c r="D40" s="1" t="s">
        <v>48</v>
      </c>
      <c r="E40" s="1" t="s">
        <v>47</v>
      </c>
      <c r="F40" s="4">
        <v>18.5</v>
      </c>
    </row>
    <row r="41" spans="1:6" x14ac:dyDescent="0.3">
      <c r="A41" s="1" t="s">
        <v>34</v>
      </c>
      <c r="B41" s="1" t="s">
        <v>25</v>
      </c>
      <c r="C41" s="1" t="s">
        <v>49</v>
      </c>
      <c r="D41" s="1" t="s">
        <v>48</v>
      </c>
      <c r="E41" s="1" t="s">
        <v>47</v>
      </c>
      <c r="F41" s="4">
        <v>19.3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 activeCell="D7" sqref="D7"/>
    </sheetView>
  </sheetViews>
  <sheetFormatPr baseColWidth="10" defaultColWidth="8.88671875" defaultRowHeight="14.4" x14ac:dyDescent="0.3"/>
  <cols>
    <col min="1" max="1" width="39" customWidth="1"/>
    <col min="2" max="2" width="12" customWidth="1"/>
    <col min="3" max="3" width="20" customWidth="1"/>
    <col min="4" max="7" width="45" customWidth="1"/>
  </cols>
  <sheetData>
    <row r="1" spans="1:7" x14ac:dyDescent="0.3">
      <c r="A1" s="2" t="s">
        <v>41</v>
      </c>
      <c r="B1" s="2" t="s">
        <v>1</v>
      </c>
      <c r="C1" s="2" t="s">
        <v>42</v>
      </c>
      <c r="D1" s="2" t="s">
        <v>51</v>
      </c>
      <c r="E1" s="2" t="s">
        <v>52</v>
      </c>
      <c r="F1" s="2"/>
      <c r="G1" s="2"/>
    </row>
    <row r="2" spans="1:7" x14ac:dyDescent="0.3">
      <c r="A2" s="1" t="s">
        <v>45</v>
      </c>
      <c r="B2" s="1" t="s">
        <v>53</v>
      </c>
      <c r="C2" s="1" t="s">
        <v>46</v>
      </c>
      <c r="D2" s="1">
        <f>COUNTIFS(Execution_Time!C:C,"Low-code",Execution_Time!D:D,"QAOA / MaxCut",Execution_Time!E:E,"Yes")</f>
        <v>10</v>
      </c>
      <c r="E2" s="4">
        <f>AVERAGEIFS(Execution_Time!F:F,Execution_Time!C:C,"Low-code",Execution_Time!D:D,"QAOA / MaxCut",Execution_Time!E:E,"Yes")</f>
        <v>7.5199999999999987</v>
      </c>
      <c r="F2" s="1"/>
      <c r="G2" s="1"/>
    </row>
    <row r="3" spans="1:7" x14ac:dyDescent="0.3">
      <c r="A3" s="1" t="s">
        <v>45</v>
      </c>
      <c r="B3" s="1" t="s">
        <v>53</v>
      </c>
      <c r="C3" s="1" t="s">
        <v>48</v>
      </c>
      <c r="D3" s="1">
        <f>COUNTIFS(Execution_Time!C:C,"Low-code",Execution_Time!D:D,"Quantum clustering",Execution_Time!E:E,"Yes")</f>
        <v>10</v>
      </c>
      <c r="E3" s="4">
        <f>AVERAGEIFS(Execution_Time!F:F,Execution_Time!C:C,"Low-code",Execution_Time!D:D,"Quantum clustering",Execution_Time!E:E,"Yes")</f>
        <v>7.92</v>
      </c>
      <c r="F3" s="1"/>
      <c r="G3" s="1"/>
    </row>
    <row r="4" spans="1:7" x14ac:dyDescent="0.3">
      <c r="A4" s="1" t="s">
        <v>49</v>
      </c>
      <c r="B4" s="1" t="s">
        <v>39</v>
      </c>
      <c r="C4" s="1" t="s">
        <v>46</v>
      </c>
      <c r="D4" s="1">
        <f>COUNTIFS(Execution_Time!C:C,"SDK",Execution_Time!B:B,"Expert",Execution_Time!D:D,"QAOA / MaxCut",Execution_Time!E:E,"Yes")</f>
        <v>5</v>
      </c>
      <c r="E4" s="4">
        <f>AVERAGEIFS(Execution_Time!F:F,Execution_Time!C:C,"SDK",Execution_Time!B:B,"Expert",Execution_Time!D:D,"QAOA / MaxCut",Execution_Time!E:E,"Yes")</f>
        <v>17.700000000000003</v>
      </c>
      <c r="F4" s="1"/>
      <c r="G4" s="1"/>
    </row>
    <row r="5" spans="1:7" x14ac:dyDescent="0.3">
      <c r="A5" s="1" t="s">
        <v>49</v>
      </c>
      <c r="B5" s="1" t="s">
        <v>39</v>
      </c>
      <c r="C5" s="1" t="s">
        <v>48</v>
      </c>
      <c r="D5" s="1">
        <f>COUNTIFS(Execution_Time!C:C,"SDK",Execution_Time!B:B,"Expert",Execution_Time!D:D,"Quantum clustering",Execution_Time!E:E,"Yes")</f>
        <v>5</v>
      </c>
      <c r="E5" s="4">
        <f>AVERAGEIFS(Execution_Time!F:F,Execution_Time!C:C,"SDK",Execution_Time!B:B,"Expert",Execution_Time!D:D,"Quantum clustering",Execution_Time!E:E,"Yes")</f>
        <v>18</v>
      </c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5"/>
      <c r="F7" s="1"/>
      <c r="G7" s="1"/>
    </row>
    <row r="8" spans="1:7" x14ac:dyDescent="0.3">
      <c r="A8" s="1"/>
      <c r="B8" s="1"/>
      <c r="C8" s="1"/>
      <c r="D8" s="1"/>
      <c r="E8" s="5"/>
      <c r="F8" s="1"/>
      <c r="G8" s="1"/>
    </row>
    <row r="9" spans="1:7" x14ac:dyDescent="0.3">
      <c r="A9" s="1"/>
      <c r="B9" s="1"/>
      <c r="C9" s="1"/>
      <c r="D9" s="1"/>
      <c r="E9" s="4"/>
      <c r="F9" s="1"/>
      <c r="G9" s="1"/>
    </row>
    <row r="10" spans="1:7" x14ac:dyDescent="0.3">
      <c r="A10" s="1"/>
      <c r="B10" s="1"/>
      <c r="C10" s="1"/>
      <c r="D10" s="1"/>
      <c r="E10" s="5"/>
      <c r="F10" s="1"/>
      <c r="G10" s="1"/>
    </row>
    <row r="11" spans="1:7" x14ac:dyDescent="0.3">
      <c r="A11" s="1"/>
      <c r="B11" s="1"/>
      <c r="C11" s="1"/>
      <c r="D11" s="1"/>
      <c r="E11" s="5"/>
      <c r="F11" s="1"/>
      <c r="G11" s="1"/>
    </row>
    <row r="12" spans="1:7" x14ac:dyDescent="0.3">
      <c r="A12" s="1"/>
      <c r="B12" s="1"/>
      <c r="C12" s="1"/>
      <c r="D12" s="1"/>
      <c r="E12" s="4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pane ySplit="1" topLeftCell="A2" activePane="bottomLeft" state="frozen"/>
      <selection pane="bottomLeft" activeCell="C24" sqref="C24"/>
    </sheetView>
  </sheetViews>
  <sheetFormatPr baseColWidth="10" defaultColWidth="8.88671875" defaultRowHeight="14.4" x14ac:dyDescent="0.3"/>
  <cols>
    <col min="1" max="1" width="8" customWidth="1"/>
    <col min="2" max="2" width="20" customWidth="1"/>
    <col min="3" max="3" width="23" customWidth="1"/>
    <col min="4" max="4" width="9" customWidth="1"/>
    <col min="5" max="5" width="11" customWidth="1"/>
    <col min="6" max="6" width="24" customWidth="1"/>
    <col min="7" max="7" width="8" customWidth="1"/>
    <col min="8" max="8" width="42" customWidth="1"/>
  </cols>
  <sheetData>
    <row r="1" spans="1:8" x14ac:dyDescent="0.3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 x14ac:dyDescent="0.3">
      <c r="A2" s="1">
        <v>1</v>
      </c>
      <c r="B2" s="1" t="s">
        <v>46</v>
      </c>
      <c r="C2" s="1" t="s">
        <v>62</v>
      </c>
      <c r="D2" s="1" t="s">
        <v>47</v>
      </c>
      <c r="E2" s="1" t="s">
        <v>47</v>
      </c>
      <c r="F2" s="1" t="s">
        <v>47</v>
      </c>
      <c r="G2" s="1" t="s">
        <v>50</v>
      </c>
      <c r="H2" s="1" t="s">
        <v>63</v>
      </c>
    </row>
    <row r="3" spans="1:8" x14ac:dyDescent="0.3">
      <c r="A3" s="1">
        <v>2</v>
      </c>
      <c r="B3" s="1" t="s">
        <v>46</v>
      </c>
      <c r="C3" s="1" t="s">
        <v>62</v>
      </c>
      <c r="D3" s="1" t="s">
        <v>47</v>
      </c>
      <c r="E3" s="1" t="s">
        <v>47</v>
      </c>
      <c r="F3" s="1" t="s">
        <v>47</v>
      </c>
      <c r="G3" s="1" t="s">
        <v>50</v>
      </c>
      <c r="H3" s="1" t="s">
        <v>63</v>
      </c>
    </row>
    <row r="4" spans="1:8" x14ac:dyDescent="0.3">
      <c r="A4" s="1">
        <v>3</v>
      </c>
      <c r="B4" s="1" t="s">
        <v>46</v>
      </c>
      <c r="C4" s="1" t="s">
        <v>64</v>
      </c>
      <c r="D4" s="1" t="s">
        <v>47</v>
      </c>
      <c r="E4" s="1" t="s">
        <v>47</v>
      </c>
      <c r="F4" s="1" t="s">
        <v>47</v>
      </c>
      <c r="G4" s="1" t="s">
        <v>50</v>
      </c>
      <c r="H4" s="1" t="s">
        <v>65</v>
      </c>
    </row>
    <row r="5" spans="1:8" x14ac:dyDescent="0.3">
      <c r="A5" s="1">
        <v>4</v>
      </c>
      <c r="B5" s="1" t="s">
        <v>46</v>
      </c>
      <c r="C5" s="1" t="s">
        <v>62</v>
      </c>
      <c r="D5" s="1" t="s">
        <v>47</v>
      </c>
      <c r="E5" s="1" t="s">
        <v>47</v>
      </c>
      <c r="F5" s="1" t="s">
        <v>47</v>
      </c>
      <c r="G5" s="1" t="s">
        <v>50</v>
      </c>
      <c r="H5" s="1" t="s">
        <v>63</v>
      </c>
    </row>
    <row r="6" spans="1:8" x14ac:dyDescent="0.3">
      <c r="A6" s="1">
        <v>5</v>
      </c>
      <c r="B6" s="1" t="s">
        <v>46</v>
      </c>
      <c r="C6" s="1" t="s">
        <v>66</v>
      </c>
      <c r="D6" s="1" t="s">
        <v>47</v>
      </c>
      <c r="E6" s="1" t="s">
        <v>47</v>
      </c>
      <c r="F6" s="1" t="s">
        <v>47</v>
      </c>
      <c r="G6" s="1" t="s">
        <v>50</v>
      </c>
      <c r="H6" s="1" t="s">
        <v>65</v>
      </c>
    </row>
    <row r="7" spans="1:8" x14ac:dyDescent="0.3">
      <c r="A7" s="1">
        <v>6</v>
      </c>
      <c r="B7" s="1" t="s">
        <v>46</v>
      </c>
      <c r="C7" s="1" t="s">
        <v>62</v>
      </c>
      <c r="D7" s="1" t="s">
        <v>47</v>
      </c>
      <c r="E7" s="1" t="s">
        <v>47</v>
      </c>
      <c r="F7" s="1" t="s">
        <v>47</v>
      </c>
      <c r="G7" s="1" t="s">
        <v>50</v>
      </c>
      <c r="H7" s="1" t="s">
        <v>63</v>
      </c>
    </row>
    <row r="8" spans="1:8" x14ac:dyDescent="0.3">
      <c r="A8" s="1">
        <v>7</v>
      </c>
      <c r="B8" s="1" t="s">
        <v>46</v>
      </c>
      <c r="C8" s="1" t="s">
        <v>64</v>
      </c>
      <c r="D8" s="1" t="s">
        <v>47</v>
      </c>
      <c r="E8" s="1" t="s">
        <v>47</v>
      </c>
      <c r="F8" s="1" t="s">
        <v>47</v>
      </c>
      <c r="G8" s="1" t="s">
        <v>50</v>
      </c>
      <c r="H8" s="1" t="s">
        <v>65</v>
      </c>
    </row>
    <row r="9" spans="1:8" x14ac:dyDescent="0.3">
      <c r="A9" s="1">
        <v>8</v>
      </c>
      <c r="B9" s="1" t="s">
        <v>46</v>
      </c>
      <c r="C9" s="1" t="s">
        <v>62</v>
      </c>
      <c r="D9" s="1" t="s">
        <v>47</v>
      </c>
      <c r="E9" s="1" t="s">
        <v>47</v>
      </c>
      <c r="F9" s="1" t="s">
        <v>47</v>
      </c>
      <c r="G9" s="1" t="s">
        <v>50</v>
      </c>
      <c r="H9" s="1" t="s">
        <v>63</v>
      </c>
    </row>
    <row r="10" spans="1:8" x14ac:dyDescent="0.3">
      <c r="A10" s="1">
        <v>9</v>
      </c>
      <c r="B10" s="1" t="s">
        <v>46</v>
      </c>
      <c r="C10" s="1" t="s">
        <v>62</v>
      </c>
      <c r="D10" s="1" t="s">
        <v>47</v>
      </c>
      <c r="E10" s="1" t="s">
        <v>47</v>
      </c>
      <c r="F10" s="1" t="s">
        <v>47</v>
      </c>
      <c r="G10" s="1" t="s">
        <v>50</v>
      </c>
      <c r="H10" s="1" t="s">
        <v>63</v>
      </c>
    </row>
    <row r="11" spans="1:8" x14ac:dyDescent="0.3">
      <c r="A11" s="1">
        <v>10</v>
      </c>
      <c r="B11" s="1" t="s">
        <v>46</v>
      </c>
      <c r="C11" s="1" t="s">
        <v>66</v>
      </c>
      <c r="D11" s="1" t="s">
        <v>47</v>
      </c>
      <c r="E11" s="1" t="s">
        <v>47</v>
      </c>
      <c r="F11" s="1" t="s">
        <v>47</v>
      </c>
      <c r="G11" s="1" t="s">
        <v>50</v>
      </c>
      <c r="H11" s="1" t="s">
        <v>65</v>
      </c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8671875" defaultRowHeight="14.4" x14ac:dyDescent="0.3"/>
  <cols>
    <col min="1" max="1" width="20" customWidth="1"/>
    <col min="2" max="2" width="27" customWidth="1"/>
    <col min="3" max="8" width="45" customWidth="1"/>
    <col min="9" max="9" width="30" customWidth="1"/>
    <col min="10" max="10" width="24" customWidth="1"/>
  </cols>
  <sheetData>
    <row r="1" spans="1:10" x14ac:dyDescent="0.3">
      <c r="A1" s="2" t="s">
        <v>55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</row>
    <row r="2" spans="1:10" x14ac:dyDescent="0.3">
      <c r="A2" s="1" t="s">
        <v>46</v>
      </c>
      <c r="B2" s="1">
        <f>COUNTIF(LLM_Runs!B:B,A2)</f>
        <v>10</v>
      </c>
      <c r="C2" s="1">
        <f>COUNTIFS(LLM_Runs!B:B,A2,LLM_Runs!C:C,"QAOA")</f>
        <v>6</v>
      </c>
      <c r="D2" s="1">
        <f>COUNTIFS(LLM_Runs!B:B,A2,LLM_Runs!C:C,"VQE")</f>
        <v>2</v>
      </c>
      <c r="E2" s="1">
        <f>COUNTIFS(LLM_Runs!B:B,A2,LLM_Runs!C:C,"Grover")</f>
        <v>2</v>
      </c>
      <c r="F2" s="1">
        <f>COUNTIFS(LLM_Runs!B:B,A2,LLM_Runs!E:E,"Yes")</f>
        <v>10</v>
      </c>
      <c r="G2" s="1">
        <f>COUNTIFS(LLM_Runs!B:B,A2,LLM_Runs!E:E,"No")</f>
        <v>0</v>
      </c>
      <c r="H2" s="1">
        <f>COUNTIFS(LLM_Runs!B:B,A2,LLM_Runs!G:G,"Yes")</f>
        <v>0</v>
      </c>
      <c r="I2" s="4">
        <f>IF(B2=0,"",C2/B2*100)</f>
        <v>60</v>
      </c>
      <c r="J2" s="4">
        <f>IF(B2=0,"",F2/B2*100)</f>
        <v>100</v>
      </c>
    </row>
    <row r="3" spans="1:10" x14ac:dyDescent="0.3">
      <c r="A3" s="1"/>
      <c r="B3" s="1"/>
      <c r="C3" s="1"/>
      <c r="D3" s="1"/>
      <c r="E3" s="1"/>
      <c r="F3" s="1"/>
      <c r="G3" s="1"/>
      <c r="H3" s="1"/>
      <c r="I3" s="4"/>
      <c r="J3" s="4"/>
    </row>
    <row r="4" spans="1:10" x14ac:dyDescent="0.3">
      <c r="A4" s="1" t="s">
        <v>40</v>
      </c>
      <c r="B4" s="1">
        <f t="shared" ref="B4:H4" si="0">SUM(B2:B3)</f>
        <v>10</v>
      </c>
      <c r="C4" s="1">
        <f t="shared" si="0"/>
        <v>6</v>
      </c>
      <c r="D4" s="1">
        <f t="shared" si="0"/>
        <v>2</v>
      </c>
      <c r="E4" s="1">
        <f t="shared" si="0"/>
        <v>2</v>
      </c>
      <c r="F4" s="1">
        <f t="shared" si="0"/>
        <v>10</v>
      </c>
      <c r="G4" s="1">
        <f t="shared" si="0"/>
        <v>0</v>
      </c>
      <c r="H4" s="1">
        <f t="shared" si="0"/>
        <v>0</v>
      </c>
      <c r="I4" s="4">
        <f>IF(B4=0,"",C4/B4*100)</f>
        <v>60</v>
      </c>
      <c r="J4" s="4">
        <f>IF(B4=0,"",F4/B4*100)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SUS_Data</vt:lpstr>
      <vt:lpstr>SUS_Summary</vt:lpstr>
      <vt:lpstr>Execution_Time</vt:lpstr>
      <vt:lpstr>Execution_Summary</vt:lpstr>
      <vt:lpstr>LLM_Runs</vt:lpstr>
      <vt:lpstr>LLM_Stability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lavinia.stiliadou@iaas.uni-stuttgart.de</cp:lastModifiedBy>
  <dcterms:created xsi:type="dcterms:W3CDTF">2026-09-11T15:17:46Z</dcterms:created>
  <dcterms:modified xsi:type="dcterms:W3CDTF">2026-09-11T16:24:11Z</dcterms:modified>
</cp:coreProperties>
</file>